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B服" sheetId="1" r:id="rId1"/>
    <sheet name="渠道" sheetId="2" r:id="rId2"/>
  </sheets>
  <definedNames>
    <definedName name="_xlnm._FilterDatabase" localSheetId="0" hidden="1">B服!$A$1:$F$232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<sst xmlns="http://schemas.openxmlformats.org/spreadsheetml/2006/main" count="663" uniqueCount="29">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</sst>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3"/>
  <sheetViews>
    <sheetView tabSelected="1" zoomScale="145" zoomScaleNormal="145" workbookViewId="0">
      <pane xSplit="1" ySplit="1" topLeftCell="B215" activePane="bottomRight" state="frozen"/>
      <selection/>
      <selection pane="topRight"/>
      <selection pane="bottomLeft"/>
      <selection pane="bottomRight" activeCell="D234" sqref="D234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  <row r="230" spans="1:7">
      <c r="A230" s="2">
        <v>301</v>
      </c>
      <c r="B230" s="7">
        <v>46075</v>
      </c>
      <c r="C230" s="7">
        <v>46084</v>
      </c>
      <c r="D230" s="8">
        <v>144103</v>
      </c>
      <c r="E230" s="2" t="s">
        <v>10</v>
      </c>
      <c r="F230" s="2" t="s">
        <v>7</v>
      </c>
      <c r="G230" s="8" t="s">
        <v>15</v>
      </c>
    </row>
    <row r="231" spans="1:7">
      <c r="A231" s="2">
        <v>302</v>
      </c>
      <c r="B231" s="7">
        <v>46086</v>
      </c>
      <c r="C231" s="7">
        <v>46095</v>
      </c>
      <c r="D231" s="8">
        <v>117319</v>
      </c>
      <c r="E231" s="2">
        <v>2</v>
      </c>
      <c r="F231" s="2" t="s">
        <v>8</v>
      </c>
      <c r="G231" s="8" t="s">
        <v>15</v>
      </c>
    </row>
    <row r="232" spans="1:7">
      <c r="A232" s="2">
        <v>303</v>
      </c>
      <c r="B232" s="7">
        <v>46097</v>
      </c>
      <c r="C232" s="7">
        <v>46106</v>
      </c>
      <c r="D232" s="8">
        <v>113776</v>
      </c>
      <c r="E232" s="2" t="s">
        <v>10</v>
      </c>
      <c r="F232" s="2" t="s">
        <v>9</v>
      </c>
      <c r="G232" s="8" t="s">
        <v>15</v>
      </c>
    </row>
    <row r="233" spans="1:7">
      <c r="A233" s="2">
        <v>304</v>
      </c>
      <c r="B233" s="7">
        <v>46108</v>
      </c>
      <c r="C233" s="7">
        <v>46117</v>
      </c>
      <c r="D233" s="8">
        <v>117630</v>
      </c>
      <c r="E233" s="2" t="s">
        <v>10</v>
      </c>
      <c r="F233" s="2" t="s">
        <v>7</v>
      </c>
      <c r="G233" s="8" t="s">
        <v>15</v>
      </c>
    </row>
  </sheetData>
  <sheetProtection formatCells="0" insertHyperlinks="0" autoFilter="0"/>
  <autoFilter xmlns:etc="http://www.wps.cn/officeDocument/2017/etCustomData" ref="A1:F232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4" activePane="bottomRight" state="frozen"/>
      <selection/>
      <selection pane="topRight"/>
      <selection pane="bottomLeft"/>
      <selection pane="bottomRight" activeCell="D195" sqref="D195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>
        <v>301</v>
      </c>
      <c r="B191" s="7">
        <v>46075</v>
      </c>
      <c r="C191" s="7">
        <v>46084</v>
      </c>
      <c r="D191" s="3">
        <v>52585</v>
      </c>
      <c r="E191" s="5">
        <f>D191/B服!D230</f>
        <v>0.364912597239475</v>
      </c>
      <c r="F191" s="2" t="s">
        <v>7</v>
      </c>
    </row>
    <row r="192" spans="1:6">
      <c r="A192" s="2">
        <v>302</v>
      </c>
      <c r="B192" s="7">
        <v>46086</v>
      </c>
      <c r="C192" s="7">
        <v>46095</v>
      </c>
      <c r="D192" s="3">
        <v>35635</v>
      </c>
      <c r="E192" s="5">
        <f>D192/B服!D231</f>
        <v>0.303744491514588</v>
      </c>
      <c r="F192" s="2" t="s">
        <v>8</v>
      </c>
    </row>
    <row r="193" spans="1:6">
      <c r="A193" s="2">
        <v>303</v>
      </c>
      <c r="B193" s="7">
        <v>46097</v>
      </c>
      <c r="C193" s="7">
        <v>46106</v>
      </c>
      <c r="D193" s="3">
        <v>34715</v>
      </c>
      <c r="E193" s="5">
        <f>D193/B服!D232</f>
        <v>0.305117072141752</v>
      </c>
      <c r="F193" s="2" t="s">
        <v>9</v>
      </c>
    </row>
    <row r="194" spans="1:6">
      <c r="A194" s="2">
        <v>304</v>
      </c>
      <c r="B194" s="7">
        <v>46108</v>
      </c>
      <c r="C194" s="7">
        <v>46117</v>
      </c>
      <c r="D194" s="3">
        <v>43763</v>
      </c>
      <c r="E194" s="5">
        <f>D194/B服!D233</f>
        <v>0.372039445719629</v>
      </c>
      <c r="F194" s="2" t="s">
        <v>7</v>
      </c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2026-04-05T15:14:06Z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