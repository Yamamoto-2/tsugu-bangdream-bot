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<sst xmlns="http://schemas.openxmlformats.org/spreadsheetml/2006/main" count="674" uniqueCount="29">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</sst>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6"/>
  <sheetViews>
    <sheetView tabSelected="1" zoomScale="145" zoomScaleNormal="145" workbookViewId="0">
      <pane xSplit="1" ySplit="1" topLeftCell="B217" activePane="bottomRight" state="frozen"/>
      <selection/>
      <selection pane="topRight"/>
      <selection pane="bottomLeft"/>
      <selection pane="bottomRight" activeCell="E237" sqref="E237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>
        <v>2</v>
      </c>
      <c r="F231" s="2" t="s">
        <v>8</v>
      </c>
      <c r="G231" s="8" t="s">
        <v>15</v>
      </c>
    </row>
    <row r="232" spans="1:7">
      <c r="A232" s="2">
        <v>303</v>
      </c>
      <c r="B232" s="7">
        <v>46097</v>
      </c>
      <c r="C232" s="7">
        <v>46106</v>
      </c>
      <c r="D232" s="8">
        <v>113776</v>
      </c>
      <c r="E232" s="2" t="s">
        <v>10</v>
      </c>
      <c r="F232" s="2" t="s">
        <v>9</v>
      </c>
      <c r="G232" s="8" t="s">
        <v>15</v>
      </c>
    </row>
    <row r="233" spans="1:7">
      <c r="A233" s="2">
        <v>304</v>
      </c>
      <c r="B233" s="7">
        <v>46108</v>
      </c>
      <c r="C233" s="7">
        <v>46117</v>
      </c>
      <c r="D233" s="8">
        <v>117630</v>
      </c>
      <c r="E233" s="2" t="s">
        <v>10</v>
      </c>
      <c r="F233" s="2" t="s">
        <v>7</v>
      </c>
      <c r="G233" s="8" t="s">
        <v>15</v>
      </c>
    </row>
    <row r="234" spans="1:7">
      <c r="A234" s="2">
        <v>305</v>
      </c>
      <c r="B234" s="7">
        <v>46119</v>
      </c>
      <c r="C234" s="7">
        <v>46127</v>
      </c>
      <c r="D234" s="8">
        <v>50357</v>
      </c>
      <c r="E234" s="2">
        <v>1</v>
      </c>
      <c r="F234" s="2" t="s">
        <v>12</v>
      </c>
      <c r="G234" s="8" t="s">
        <v>15</v>
      </c>
    </row>
    <row r="235" spans="1:7">
      <c r="A235" s="2">
        <v>306</v>
      </c>
      <c r="B235" s="7">
        <v>46129</v>
      </c>
      <c r="C235" s="7">
        <v>46136</v>
      </c>
      <c r="D235" s="8">
        <v>109808</v>
      </c>
      <c r="E235" s="2" t="s">
        <v>10</v>
      </c>
      <c r="F235" s="2" t="s">
        <v>6</v>
      </c>
      <c r="G235" s="8" t="s">
        <v>15</v>
      </c>
    </row>
    <row r="236" spans="1:7">
      <c r="A236" s="2">
        <v>307</v>
      </c>
      <c r="B236" s="7">
        <v>46138</v>
      </c>
      <c r="C236" s="7">
        <v>46146</v>
      </c>
      <c r="D236" s="8">
        <v>128828</v>
      </c>
      <c r="E236" s="2" t="s">
        <v>10</v>
      </c>
      <c r="F236" s="2" t="s">
        <v>9</v>
      </c>
      <c r="G236" s="8" t="s">
        <v>15</v>
      </c>
    </row>
  </sheetData>
  <sheetProtection formatCells="0" insertHyperlinks="0" autoFilter="0"/>
  <autoFilter xmlns:etc="http://www.wps.cn/officeDocument/2017/etCustomData" ref="A1:F235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4" activePane="bottomRight" state="frozen"/>
      <selection/>
      <selection pane="topRight"/>
      <selection pane="bottomLeft"/>
      <selection pane="bottomRight" activeCell="D198" sqref="D198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>
        <v>303</v>
      </c>
      <c r="B193" s="7">
        <v>46097</v>
      </c>
      <c r="C193" s="7">
        <v>46106</v>
      </c>
      <c r="D193" s="3">
        <v>34715</v>
      </c>
      <c r="E193" s="5">
        <f>D193/B服!D232</f>
        <v>0.305117072141752</v>
      </c>
      <c r="F193" s="2" t="s">
        <v>9</v>
      </c>
    </row>
    <row r="194" spans="1:6">
      <c r="A194" s="2">
        <v>304</v>
      </c>
      <c r="B194" s="7">
        <v>46108</v>
      </c>
      <c r="C194" s="7">
        <v>46117</v>
      </c>
      <c r="D194" s="3">
        <v>43763</v>
      </c>
      <c r="E194" s="5">
        <f>D194/B服!D233</f>
        <v>0.372039445719629</v>
      </c>
      <c r="F194" s="2" t="s">
        <v>7</v>
      </c>
    </row>
    <row r="195" spans="1:6">
      <c r="A195" s="2">
        <v>305</v>
      </c>
      <c r="B195" s="7">
        <v>46119</v>
      </c>
      <c r="C195" s="7">
        <v>46127</v>
      </c>
      <c r="D195" s="3">
        <v>8885</v>
      </c>
      <c r="E195" s="5">
        <f>D195/B服!D234</f>
        <v>0.176440216851679</v>
      </c>
      <c r="F195" s="2" t="s">
        <v>12</v>
      </c>
    </row>
    <row r="196" spans="1:6">
      <c r="A196" s="2">
        <v>306</v>
      </c>
      <c r="B196" s="7">
        <v>46129</v>
      </c>
      <c r="C196" s="7">
        <v>46136</v>
      </c>
      <c r="D196" s="3">
        <v>37767</v>
      </c>
      <c r="E196" s="5">
        <f>D196/B服!D235</f>
        <v>0.34393668949439</v>
      </c>
      <c r="F196" s="2" t="s">
        <v>6</v>
      </c>
    </row>
    <row r="197" spans="1:6">
      <c r="A197" s="2">
        <v>307</v>
      </c>
      <c r="B197" s="7">
        <v>46138</v>
      </c>
      <c r="C197" s="7">
        <v>46146</v>
      </c>
      <c r="D197" s="3">
        <v>56030</v>
      </c>
      <c r="E197" s="5">
        <f>D197/B服!D236</f>
        <v>0.434920979911199</v>
      </c>
      <c r="F197" s="2" t="s">
        <v>9</v>
      </c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2026-05-04T15:17:04Z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